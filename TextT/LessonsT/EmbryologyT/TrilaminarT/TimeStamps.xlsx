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wmf" ContentType="image/x-w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app.xml" ContentType="application/vnd.openxmlformats-officedocument.extended-propertie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6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thatcher\WV School of Osteopathic Medicine\BioMe - General\BioMe Program\TextT\LessonsT\EmbryologyT\TrilaminarT\"/>
    </mc:Choice>
  </mc:AlternateContent>
  <xr:revisionPtr revIDLastSave="0" documentId="8_{6B6B8283-BB37-4ABC-BE9E-C9FB5DA4D531}" xr6:coauthVersionLast="36" xr6:coauthVersionMax="36" xr10:uidLastSave="{00000000-0000-0000-0000-000000000000}"/>
  <bookViews>
    <workbookView xWindow="0" yWindow="0" windowWidth="17256" windowHeight="5556" xr2:uid="{6111BB81-A148-446F-97C6-8AD6BB0226F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D6" i="1" l="1"/>
  <c r="D10" i="1"/>
  <c r="D16" i="1"/>
  <c r="E16" i="1" s="1"/>
  <c r="D17" i="1"/>
  <c r="D21" i="1"/>
  <c r="D25" i="1"/>
  <c r="D29" i="1"/>
  <c r="D20" i="1"/>
  <c r="D11" i="1"/>
  <c r="D30" i="1"/>
  <c r="D26" i="1"/>
  <c r="D5" i="1"/>
  <c r="E1" i="1" s="1"/>
  <c r="E5" i="1" s="1"/>
  <c r="D2" i="1"/>
  <c r="E2" i="1" s="1"/>
  <c r="E26" i="1" s="1"/>
  <c r="E6" i="1" l="1"/>
  <c r="E29" i="1"/>
  <c r="E11" i="1"/>
  <c r="E25" i="1"/>
  <c r="E30" i="1"/>
  <c r="E20" i="1"/>
  <c r="E10" i="1"/>
  <c r="E17" i="1"/>
  <c r="E21" i="1"/>
</calcChain>
</file>

<file path=xl/sharedStrings.xml><?xml version="1.0" encoding="utf-8"?>
<sst xmlns="http://schemas.openxmlformats.org/spreadsheetml/2006/main" count="30" uniqueCount="9">
  <si>
    <t>Epiblast Migrationloop true</t>
  </si>
  <si>
    <t>Hensen's Node</t>
  </si>
  <si>
    <t>src_start</t>
  </si>
  <si>
    <t>src_end</t>
  </si>
  <si>
    <t>FreezeFrame</t>
  </si>
  <si>
    <t>FF Name</t>
  </si>
  <si>
    <t>Loop</t>
  </si>
  <si>
    <t>Original</t>
  </si>
  <si>
    <t>true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</si>
</sst>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quotePrefix="1" applyFont="1" applyAlignment="1">
      <alignment horizontal="right"/>
    </xf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2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7C3D321-04B1-4AFA-89A4-C391DA28155E}">
  <dimension ref="A1:E32"/>
  <sheetViews>
    <sheetView tabSelected="1" topLeftCell="A4" workbookViewId="0">
      <selection activeCell="B15" sqref="B15"/>
    </sheetView>
  </sheetViews>
  <sheetFormatPr defaultRowHeight="14.4" x14ac:dyDescent="0.3"/>
  <cols>
    <col min="1" max="1" width="12.21875" customWidth="1"/>
    <col min="5" max="5" width="12" bestFit="1" customWidth="1"/>
  </cols>
  <sheetData>
    <row r="1" spans="1:5" x14ac:dyDescent="0.3">
      <c r="A1" t="s">
        <v>2</v>
      </c>
      <c r="B1">
        <v>78.58</v>
      </c>
      <c r="E1">
        <f>+AVERAGE(D5,D10,D15,D20,D25,D29,)</f>
        <v>1.233333333332953</v>
      </c>
    </row>
    <row r="2" spans="1:5" x14ac:dyDescent="0.3">
      <c r="A2" t="s">
        <v>3</v>
      </c>
      <c r="B2">
        <v>80.5</v>
      </c>
      <c r="D2">
        <f>+B2-B1</f>
        <v>1.9200000000000017</v>
      </c>
      <c r="E2">
        <f>+AVERAGE(D2,D6,D11,D17,D21,D26,D30,)</f>
        <v>3.7600000000002858</v>
      </c>
    </row>
    <row r="3" spans="1:5" x14ac:dyDescent="0.3">
      <c r="A3" t="s">
        <v>4</v>
      </c>
      <c r="B3">
        <v>14</v>
      </c>
    </row>
    <row r="5" spans="1:5" x14ac:dyDescent="0.3">
      <c r="A5" t="s">
        <v>2</v>
      </c>
      <c r="B5">
        <v>82.539999999999907</v>
      </c>
      <c r="D5">
        <f>+B5-B2</f>
        <v>2.0399999999999068</v>
      </c>
      <c r="E5">
        <f>+D5-E$1</f>
        <v>0.80666666666695375</v>
      </c>
    </row>
    <row r="6" spans="1:5" x14ac:dyDescent="0.3">
      <c r="A6" t="s">
        <v>3</v>
      </c>
      <c r="B6">
        <v>84.26</v>
      </c>
      <c r="D6">
        <f>+B6-B5</f>
        <v>1.7200000000000983</v>
      </c>
      <c r="E6">
        <f>+D6-E$2</f>
        <v>-2.0400000000001874</v>
      </c>
    </row>
    <row r="7" spans="1:5" x14ac:dyDescent="0.3">
      <c r="A7" t="s">
        <v>4</v>
      </c>
      <c r="B7">
        <v>15</v>
      </c>
    </row>
    <row r="8" spans="1:5" x14ac:dyDescent="0.3">
      <c r="A8" t="s">
        <v>5</v>
      </c>
      <c r="B8" s="2" t="s">
        <v>1</v>
      </c>
    </row>
    <row r="10" spans="1:5" x14ac:dyDescent="0.3">
      <c r="A10" t="s">
        <v>2</v>
      </c>
      <c r="B10">
        <v>85.539999999999907</v>
      </c>
      <c r="D10">
        <f>+B10-B6</f>
        <v>1.2799999999999017</v>
      </c>
      <c r="E10">
        <f>+D10-E$1</f>
        <v>4.6666666666948631E-2</v>
      </c>
    </row>
    <row r="11" spans="1:5" x14ac:dyDescent="0.3">
      <c r="A11" t="s">
        <v>3</v>
      </c>
      <c r="B11">
        <v>96.54</v>
      </c>
      <c r="D11">
        <f>+B11-B10</f>
        <v>11.000000000000099</v>
      </c>
      <c r="E11">
        <f>+D11-E$2</f>
        <v>7.2399999999998137</v>
      </c>
    </row>
    <row r="12" spans="1:5" x14ac:dyDescent="0.3">
      <c r="A12" t="s">
        <v>4</v>
      </c>
      <c r="B12">
        <v>16</v>
      </c>
    </row>
    <row r="13" spans="1:5" x14ac:dyDescent="0.3">
      <c r="A13" t="s">
        <v>6</v>
      </c>
      <c r="B13" s="1" t="s">
        <v>8</v>
      </c>
    </row>
    <row r="15" spans="1:5" x14ac:dyDescent="0.3">
      <c r="A15" t="s">
        <v>2</v>
      </c>
      <c r="B15">
        <v>97</v>
      </c>
    </row>
    <row r="16" spans="1:5" x14ac:dyDescent="0.3">
      <c r="A16" t="s">
        <v>7</v>
      </c>
      <c r="B16">
        <v>97.86</v>
      </c>
      <c r="D16">
        <f>+B16-B11</f>
        <v>1.3199999999999932</v>
      </c>
      <c r="E16">
        <f>+D16-E$1</f>
        <v>8.6666666667040149E-2</v>
      </c>
    </row>
    <row r="17" spans="1:5" x14ac:dyDescent="0.3">
      <c r="A17" t="s">
        <v>3</v>
      </c>
      <c r="B17">
        <v>97.78</v>
      </c>
      <c r="D17">
        <f>+B17-B16</f>
        <v>-7.9999999999998295E-2</v>
      </c>
      <c r="E17">
        <f>+D17-E$2</f>
        <v>-3.8400000000002841</v>
      </c>
    </row>
    <row r="18" spans="1:5" x14ac:dyDescent="0.3">
      <c r="A18" t="s">
        <v>4</v>
      </c>
      <c r="B18" s="2">
        <v>17</v>
      </c>
    </row>
    <row r="20" spans="1:5" x14ac:dyDescent="0.3">
      <c r="A20" t="s">
        <v>2</v>
      </c>
      <c r="B20">
        <v>98.899999999999906</v>
      </c>
      <c r="D20">
        <f>+B20-B17</f>
        <v>1.1199999999999051</v>
      </c>
      <c r="E20">
        <f>+D20-E$1</f>
        <v>-0.11333333333304796</v>
      </c>
    </row>
    <row r="21" spans="1:5" x14ac:dyDescent="0.3">
      <c r="A21" t="s">
        <v>3</v>
      </c>
      <c r="B21">
        <v>110.1</v>
      </c>
      <c r="D21">
        <f>+B21-B20</f>
        <v>11.200000000000088</v>
      </c>
      <c r="E21">
        <f>+D21-E$2</f>
        <v>7.4399999999998023</v>
      </c>
    </row>
    <row r="22" spans="1:5" x14ac:dyDescent="0.3">
      <c r="A22" t="s">
        <v>4</v>
      </c>
      <c r="B22">
        <v>18</v>
      </c>
    </row>
    <row r="23" spans="1:5" x14ac:dyDescent="0.3">
      <c r="A23" t="s">
        <v>6</v>
      </c>
      <c r="B23" s="1" t="s">
        <v>8</v>
      </c>
    </row>
    <row r="25" spans="1:5" x14ac:dyDescent="0.3">
      <c r="A25" t="s">
        <v>2</v>
      </c>
      <c r="B25">
        <v>111.259999999999</v>
      </c>
      <c r="D25">
        <f>+B25-B21</f>
        <v>1.1599999999990018</v>
      </c>
      <c r="E25">
        <f>+D25-E$1</f>
        <v>-7.3333333333951201E-2</v>
      </c>
    </row>
    <row r="26" spans="1:5" x14ac:dyDescent="0.3">
      <c r="A26" t="s">
        <v>3</v>
      </c>
      <c r="B26">
        <v>113.38</v>
      </c>
      <c r="D26">
        <f>+B26-B25</f>
        <v>2.1200000000009993</v>
      </c>
      <c r="E26">
        <f>+D26-E$2</f>
        <v>-1.6399999999992865</v>
      </c>
    </row>
    <row r="27" spans="1:5" x14ac:dyDescent="0.3">
      <c r="A27" t="s">
        <v>4</v>
      </c>
      <c r="B27">
        <v>19</v>
      </c>
    </row>
    <row r="29" spans="1:5" x14ac:dyDescent="0.3">
      <c r="A29" t="s">
        <v>2</v>
      </c>
      <c r="B29">
        <v>115.179999999999</v>
      </c>
      <c r="D29">
        <f>+B29-B26</f>
        <v>1.7999999999990024</v>
      </c>
      <c r="E29">
        <f>+D29-E$1</f>
        <v>0.56666666666604937</v>
      </c>
    </row>
    <row r="30" spans="1:5" x14ac:dyDescent="0.3">
      <c r="A30" t="s">
        <v>3</v>
      </c>
      <c r="B30">
        <v>117.38</v>
      </c>
      <c r="D30">
        <f>+B30-B29</f>
        <v>2.2000000000009976</v>
      </c>
      <c r="E30">
        <f>+D30-E$2</f>
        <v>-1.5599999999992882</v>
      </c>
    </row>
    <row r="31" spans="1:5" x14ac:dyDescent="0.3">
      <c r="A31" t="s">
        <v>4</v>
      </c>
      <c r="B31">
        <v>20</v>
      </c>
    </row>
    <row r="32" spans="1:5" x14ac:dyDescent="0.3">
      <c r="A32" t="s">
        <v>5</v>
      </c>
      <c r="B32" t="s">
        <v>0</v>
      </c>
    </row>
  </sheetData>
  <pageMargins left="0.7" right="0.7" top="0.75" bottom="0.75" header="0.3" footer="0.3"/>
  <pageSetup orientation="portrait" horizontalDpi="4294967295" verticalDpi="4294967295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68BDFBFC1A0E543BFA08309D75CFDDC" ma:contentTypeVersion="18" ma:contentTypeDescription="Create a new document." ma:contentTypeScope="" ma:versionID="b7f71970ef3f99ec44c52ec7c71f84ac">
  <xsd:schema xmlns:xsd="http://www.w3.org/2001/XMLSchema" xmlns:xs="http://www.w3.org/2001/XMLSchema" xmlns:p="http://schemas.microsoft.com/office/2006/metadata/properties" xmlns:ns2="67d99413-b546-47c2-8ea4-4ae840a9fa55" xmlns:ns3="817a9d90-bd5f-49a3-9c68-21cc24f405de" targetNamespace="http://schemas.microsoft.com/office/2006/metadata/properties" ma:root="true" ma:fieldsID="5017b23243ca208cae81f1c3cafd3454" ns2:_="" ns3:_="">
    <xsd:import namespace="67d99413-b546-47c2-8ea4-4ae840a9fa55"/>
    <xsd:import namespace="817a9d90-bd5f-49a3-9c68-21cc24f405d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3:SharedWithUsers" minOccurs="0"/>
                <xsd:element ref="ns3:SharedWithDetails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7d99413-b546-47c2-8ea4-4ae840a9fa5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766cc128-c09d-4731-bbd1-c98d83b100d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4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17a9d90-bd5f-49a3-9c68-21cc24f405de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f5d38398-1c7a-449b-8f5c-5d6ec589aec8}" ma:internalName="TaxCatchAll" ma:showField="CatchAllData" ma:web="817a9d90-bd5f-49a3-9c68-21cc24f405d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D8894399-0B59-4C90-8719-2120CFD60065}"/>
</file>

<file path=customXml/itemProps2.xml><?xml version="1.0" encoding="utf-8"?>
<ds:datastoreItem xmlns:ds="http://schemas.openxmlformats.org/officeDocument/2006/customXml" ds:itemID="{57A73337-BE59-41FA-BB54-567C4A474C65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West Virginia School of Osteopathic Medicine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Thatcher, Jack</dc:creator>
  <cp:lastModifiedBy>Thatcher, Jack</cp:lastModifiedBy>
  <dcterms:created xsi:type="dcterms:W3CDTF">2023-06-06T16:18:12Z</dcterms:created>
  <dcterms:modified xsi:type="dcterms:W3CDTF">2023-06-06T17:24:37Z</dcterms:modified>
</cp:coreProperties>
</file>